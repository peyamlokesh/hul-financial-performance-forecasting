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MBA\Linkedin\HUL_Financial_Performance_Forecasting\02_Excel_Model\"/>
    </mc:Choice>
  </mc:AlternateContent>
  <xr:revisionPtr revIDLastSave="0" documentId="13_ncr:1_{24037B2E-505B-4DF8-BFD7-88DC935FED84}" xr6:coauthVersionLast="47" xr6:coauthVersionMax="47" xr10:uidLastSave="{00000000-0000-0000-0000-000000000000}"/>
  <bookViews>
    <workbookView xWindow="-108" yWindow="-108" windowWidth="23256" windowHeight="12456" activeTab="5" xr2:uid="{EB92CD7E-555A-4448-9C43-F92148AD8553}"/>
  </bookViews>
  <sheets>
    <sheet name="Read_Me" sheetId="1" r:id="rId1"/>
    <sheet name="Historical_Data" sheetId="2" r:id="rId2"/>
    <sheet name="Financial_Analysis" sheetId="3" r:id="rId3"/>
    <sheet name="Forecast" sheetId="4" r:id="rId4"/>
    <sheet name="Dashboard" sheetId="5" r:id="rId5"/>
    <sheet name="Sourc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3" l="1"/>
  <c r="B19" i="4"/>
  <c r="B18" i="4"/>
  <c r="B17" i="4"/>
  <c r="B16" i="4"/>
  <c r="B14" i="4"/>
  <c r="B13" i="4"/>
  <c r="B12" i="4"/>
  <c r="B6" i="4"/>
  <c r="B7" i="4"/>
  <c r="B8" i="4"/>
  <c r="B11" i="4"/>
  <c r="B15" i="4"/>
  <c r="L3" i="3"/>
  <c r="L4" i="3"/>
  <c r="L5" i="3"/>
  <c r="L8" i="3"/>
  <c r="L9" i="3"/>
  <c r="L10" i="3"/>
  <c r="I3" i="3"/>
  <c r="I4" i="3"/>
  <c r="I5" i="3"/>
  <c r="I6" i="3"/>
  <c r="I7" i="3"/>
  <c r="I8" i="3"/>
  <c r="I9" i="3"/>
  <c r="I10" i="3"/>
  <c r="I11" i="3"/>
  <c r="I12" i="3"/>
  <c r="L7" i="3" s="1"/>
  <c r="I2" i="3"/>
  <c r="L15" i="3" s="1"/>
  <c r="H2" i="3"/>
  <c r="H3" i="3"/>
  <c r="H4" i="3"/>
  <c r="H5" i="3"/>
  <c r="H6" i="3"/>
  <c r="H7" i="3"/>
  <c r="H8" i="3"/>
  <c r="H9" i="3"/>
  <c r="H10" i="3"/>
  <c r="H11" i="3"/>
  <c r="H12" i="3"/>
  <c r="L6" i="3" s="1"/>
  <c r="G3" i="3"/>
  <c r="F3" i="3"/>
  <c r="E3" i="3"/>
  <c r="G4" i="3"/>
  <c r="G5" i="3"/>
  <c r="G6" i="3"/>
  <c r="G7" i="3"/>
  <c r="G8" i="3"/>
  <c r="G9" i="3"/>
  <c r="G10" i="3"/>
  <c r="G11" i="3"/>
  <c r="G12" i="3"/>
  <c r="F4" i="3"/>
  <c r="F5" i="3"/>
  <c r="F6" i="3"/>
  <c r="F7" i="3"/>
  <c r="F8" i="3"/>
  <c r="F9" i="3"/>
  <c r="F10" i="3"/>
  <c r="F11" i="3"/>
  <c r="F12" i="3"/>
  <c r="E12" i="3"/>
  <c r="E11" i="3"/>
  <c r="E10" i="3"/>
  <c r="E9" i="3"/>
  <c r="E8" i="3"/>
  <c r="E7" i="3"/>
  <c r="E6" i="3"/>
  <c r="E5" i="3"/>
  <c r="E4" i="3"/>
  <c r="L14" i="3" l="1"/>
  <c r="L11" i="3"/>
  <c r="L12" i="3"/>
  <c r="L13" i="3"/>
</calcChain>
</file>

<file path=xl/sharedStrings.xml><?xml version="1.0" encoding="utf-8"?>
<sst xmlns="http://schemas.openxmlformats.org/spreadsheetml/2006/main" count="165" uniqueCount="145">
  <si>
    <t>HUL Financial Performance &amp; Forecasting</t>
  </si>
  <si>
    <t>Company</t>
  </si>
  <si>
    <t>Hindustan Unilever Limited</t>
  </si>
  <si>
    <t>Project period</t>
  </si>
  <si>
    <t>FY2014–15 to FY2024–25</t>
  </si>
  <si>
    <t>Tool</t>
  </si>
  <si>
    <t>Microsoft Excel</t>
  </si>
  <si>
    <t>Project focus</t>
  </si>
  <si>
    <t>Financial performance analysis and forecasting</t>
  </si>
  <si>
    <t>Career relevance</t>
  </si>
  <si>
    <t>Financial Analyst / FP&amp;A</t>
  </si>
  <si>
    <t>Main objective</t>
  </si>
  <si>
    <t>Analyze historical financial performance and estimate future performance using transparent assumptions.</t>
  </si>
  <si>
    <t>Important limitation</t>
  </si>
  <si>
    <t>Forecasts are model estimates, not company guidance or guaranteed results.</t>
  </si>
  <si>
    <t>Financial Year</t>
  </si>
  <si>
    <t>Turnover (₹ crore)</t>
  </si>
  <si>
    <t>EBITDA (₹ crore)</t>
  </si>
  <si>
    <t>PAT (₹ crore)</t>
  </si>
  <si>
    <t>Turnover Growth %</t>
  </si>
  <si>
    <t>EBITDA Growth %</t>
  </si>
  <si>
    <t>PAT Growth %</t>
  </si>
  <si>
    <t>EBITDA Margin %</t>
  </si>
  <si>
    <t>PAT Margin %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</si>
  <si>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</si>
  <si>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</si>
  <si>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</si>
  <si>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</si>
  <si>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</si>
  <si>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</si>
  <si>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</si>
  <si>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</t>
  </si>
  <si>
    <t>2023–24</t>
  </si>
  <si>
    <t>2024–25</t>
  </si>
  <si>
    <t>2025–26</t>
  </si>
  <si>
    <t>Financial KPI</t>
  </si>
  <si>
    <t>Value</t>
  </si>
  <si>
    <t>Latest Turnover</t>
  </si>
  <si>
    <t>Latest EBITDA</t>
  </si>
  <si>
    <t>Latest PAT</t>
  </si>
  <si>
    <t>Latest EBITDA Margin</t>
  </si>
  <si>
    <t>Latest PAT Margin</t>
  </si>
  <si>
    <t>Turnover CAGR</t>
  </si>
  <si>
    <t>EBITDA CAGR</t>
  </si>
  <si>
    <t>PAT CAGR</t>
  </si>
  <si>
    <t>Highest Turnover Growth</t>
  </si>
  <si>
    <t>Lowest Turnover Growth</t>
  </si>
  <si>
    <t>Average Turnover Growth</t>
  </si>
  <si>
    <t>Average EBITDA Margin</t>
  </si>
  <si>
    <t>Average PAT Margin</t>
  </si>
  <si>
    <t>Analysis Area</t>
  </si>
  <si>
    <t>Interpretation</t>
  </si>
  <si>
    <t>Revenue Trend</t>
  </si>
  <si>
    <t>Turnover increased from ₹33,891 crore in FY2015-16 to ₹63,763 crore in FY2025-26, indicating substantial long-term expansion.</t>
  </si>
  <si>
    <t>EBITDA Trend</t>
  </si>
  <si>
    <t>EBITDA increased from ₹5,749 crore to ₹15,054 crore over the same period, indicating growth in operating earnings.</t>
  </si>
  <si>
    <t>PAT Trend</t>
  </si>
  <si>
    <t>Reported PAT increased from ₹4,137 crore to ₹10,652 crore across the period.</t>
  </si>
  <si>
    <t>Profitability</t>
  </si>
  <si>
    <t>EBITDA and PAT margins show how efficiently turnover is converted into operating earnings and reported profit.</t>
  </si>
  <si>
    <t>Recent Performance</t>
  </si>
  <si>
    <t>Turnover declined in FY2024-25 relative to FY2023-24 before increasing in FY2025-26. Review annual reports for business context.</t>
  </si>
  <si>
    <t>Forecast Implication</t>
  </si>
  <si>
    <t>Historical growth and margins can provide a starting point for planning, but past performance does not guarantee future results.</t>
  </si>
  <si>
    <t>Limitation</t>
  </si>
  <si>
    <t>This analysis is a simplified historical trend study and does not independently adjust for all accounting, portfolio or exceptional-item changes.</t>
  </si>
  <si>
    <t>HUL FINANCIAL FORECAST</t>
  </si>
  <si>
    <t>Forecast Year</t>
  </si>
  <si>
    <t>FY2026-27</t>
  </si>
  <si>
    <t>Forecast Method</t>
  </si>
  <si>
    <t>Recent 3-year average growth and margins</t>
  </si>
  <si>
    <t>ASSUMPTIONS</t>
  </si>
  <si>
    <t>FORECAST RESULTS</t>
  </si>
  <si>
    <t>Latest Actual Turnover</t>
  </si>
  <si>
    <t>Forecast Turnover</t>
  </si>
  <si>
    <t>Latest Actual EBITDA</t>
  </si>
  <si>
    <t>Forecast EBITDA</t>
  </si>
  <si>
    <t>Latest Actual PAT</t>
  </si>
  <si>
    <t>Forecast PAT</t>
  </si>
  <si>
    <t>Forecast EBITDA Margin</t>
  </si>
  <si>
    <t>Forecast PAT Margin</t>
  </si>
  <si>
    <t>Forecast Turnover Growth</t>
  </si>
  <si>
    <t>Forecast Interpretation</t>
  </si>
  <si>
    <t>Explanation</t>
  </si>
  <si>
    <t>Turnover</t>
  </si>
  <si>
    <t>Estimated by applying the average of the latest three annual turnover growth observations to the latest actual turnover.</t>
  </si>
  <si>
    <t>EBITDA</t>
  </si>
  <si>
    <t>Estimated by applying the recent average EBITDA margin to forecast turnover.</t>
  </si>
  <si>
    <t>PAT</t>
  </si>
  <si>
    <t>Estimated by applying the recent average PAT margin to forecast turnover.</t>
  </si>
  <si>
    <t>The model assumes recent historical trends continue. Actual results may differ because of demand, pricing, costs, taxes, acquisitions, disposals and exceptional items.</t>
  </si>
  <si>
    <t>FY2026-27 (Forecast)</t>
  </si>
  <si>
    <t>Key Insight 1</t>
  </si>
  <si>
    <t>HUL's turnover increased over the historical period.</t>
  </si>
  <si>
    <t>Key Insight 2</t>
  </si>
  <si>
    <t>EBITDA increased over the period, while margins help evaluate the efficiency of operating earnings.</t>
  </si>
  <si>
    <t>Key Insight 3</t>
  </si>
  <si>
    <t>The forecast uses recent historical growth and margin assumptions rather than company guidance.</t>
  </si>
  <si>
    <t>Important Note</t>
  </si>
  <si>
    <t>All financial values are in ₹ crore. The FY2026-27 figures are illustrative estimates, not actual results.</t>
  </si>
  <si>
    <t>Source ID</t>
  </si>
  <si>
    <t>Source / Reference</t>
  </si>
  <si>
    <t>Purpose</t>
  </si>
  <si>
    <t>URL</t>
  </si>
  <si>
    <t>S1</t>
  </si>
  <si>
    <t>HUL Financial Performance FY2025-26</t>
  </si>
  <si>
    <t>Historical turnover, latest EBITDA and PAT, management commentary</t>
  </si>
  <si>
    <t>https://hul-performance-highlights.hul.co.in/performance-highlights-fy-2025-2026/performance/financial/</t>
  </si>
  <si>
    <t>S2</t>
  </si>
  <si>
    <t>HUL Financial Performance FY2024-25</t>
  </si>
  <si>
    <t>Historical EBITDA and PAT series; prior-year comparison</t>
  </si>
  <si>
    <t>https://hul-performance-highlights.hul.co.in/performance-highlights-fy-2024-2025/financial-performance.html</t>
  </si>
  <si>
    <t>S3</t>
  </si>
  <si>
    <t>HUL Annual Reports and Performance Highlights</t>
  </si>
  <si>
    <t>Official annual reports and financial statements</t>
  </si>
  <si>
    <t>https://www.hul.co.in/investors/annual-reports-and-performance-highlights/</t>
  </si>
  <si>
    <t>S4</t>
  </si>
  <si>
    <t>HUL FY2025-26 Annual Report</t>
  </si>
  <si>
    <t>Financial results and supporting disclosures</t>
  </si>
  <si>
    <t>https://www.hul.co.in/files/annual-report-2025-26.pdf</t>
  </si>
  <si>
    <t>S5</t>
  </si>
  <si>
    <t>Excel Financial Analysis Methodology</t>
  </si>
  <si>
    <t>Growth rates, margins, CAGR and historical-average forecast</t>
  </si>
  <si>
    <t>Calculated in this project</t>
  </si>
  <si>
    <t>Methodology Item</t>
  </si>
  <si>
    <t>Description</t>
  </si>
  <si>
    <t>Data Type</t>
  </si>
  <si>
    <t>Secondary financial data published by the company.</t>
  </si>
  <si>
    <t>Currency</t>
  </si>
  <si>
    <t>Indian rupees, expressed in crore.</t>
  </si>
  <si>
    <t>Turnover Growth</t>
  </si>
  <si>
    <t>(Current year turnover / Previous year turnover) - 1.</t>
  </si>
  <si>
    <t>EBITDA Growth</t>
  </si>
  <si>
    <t>(Current year EBITDA / Previous year EBITDA) - 1.</t>
  </si>
  <si>
    <t>PAT Growth</t>
  </si>
  <si>
    <t>(Current year PAT / Previous year PAT) - 1.</t>
  </si>
  <si>
    <t>EBITDA Margin</t>
  </si>
  <si>
    <t>EBITDA / Turnover.</t>
  </si>
  <si>
    <t>PAT Margin</t>
  </si>
  <si>
    <t>PAT / Turnover.</t>
  </si>
  <si>
    <t>CAGR</t>
  </si>
  <si>
    <t>(Ending value / Beginning value)^(1 / Number of annual intervals) - 1.</t>
  </si>
  <si>
    <t>Average of the three latest annual growth observations and average of the three latest margins.</t>
  </si>
  <si>
    <t>Limitations</t>
  </si>
  <si>
    <t>Historical definitions and discontinued operations may affect comparisons; a simplified forecast does not model every business driver.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</si>
</sst>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7" formatCode="&quot;₹&quot;\ #,##0.00"/>
    <numFmt numFmtId="169" formatCode="&quot;₹&quot;\ #,##0"/>
    <numFmt numFmtId="172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0" fontId="0" fillId="0" borderId="0" xfId="0" applyNumberFormat="1"/>
    <xf numFmtId="0" fontId="4" fillId="0" borderId="1" xfId="0" applyFont="1" applyBorder="1"/>
    <xf numFmtId="0" fontId="3" fillId="0" borderId="1" xfId="0" applyFont="1" applyBorder="1"/>
    <xf numFmtId="3" fontId="3" fillId="0" borderId="1" xfId="0" applyNumberFormat="1" applyFont="1" applyBorder="1"/>
    <xf numFmtId="172" fontId="3" fillId="0" borderId="1" xfId="0" applyNumberFormat="1" applyFont="1" applyBorder="1"/>
    <xf numFmtId="10" fontId="3" fillId="0" borderId="1" xfId="0" applyNumberFormat="1" applyFont="1" applyBorder="1"/>
    <xf numFmtId="167" fontId="3" fillId="0" borderId="1" xfId="2" applyNumberFormat="1" applyFont="1" applyBorder="1"/>
    <xf numFmtId="169" fontId="3" fillId="0" borderId="1" xfId="0" applyNumberFormat="1" applyFont="1" applyBorder="1"/>
    <xf numFmtId="167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172" fontId="3" fillId="0" borderId="1" xfId="1" applyNumberFormat="1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HUL Turnover Trend (FY2015-16 to FY2025-26)</a:t>
            </a:r>
            <a:endParaRPr lang="en-IN"/>
          </a:p>
        </c:rich>
      </c:tx>
      <c:layout>
        <c:manualLayout>
          <c:xMode val="edge"/>
          <c:yMode val="edge"/>
          <c:x val="0.15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Historical_Data!$B$1</c:f>
              <c:strCache>
                <c:ptCount val="1"/>
                <c:pt idx="0">
                  <c:v>Turnover (₹ crore)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Historical_Data!$A$2:$A$12</c:f>
              <c:strCache>
                <c:ptCount val="11"/>
                <c:pt idx="0">
                  <c:v>2015–16</c:v>
                </c:pt>
                <c:pt idx="1">
                  <c:v>2016–17</c:v>
                </c:pt>
                <c:pt idx="2">
                  <c:v>2017–18</c:v>
                </c:pt>
                <c:pt idx="3">
                  <c:v>2018–19</c:v>
                </c:pt>
                <c:pt idx="4">
                  <c:v>2019–20</c:v>
                </c:pt>
                <c:pt idx="5">
                  <c:v>2020–21</c:v>
                </c:pt>
                <c:pt idx="6">
                  <c:v>2021–22</c:v>
                </c:pt>
                <c:pt idx="7">
                  <c:v>2022–23</c:v>
                </c:pt>
                <c:pt idx="8">
                  <c:v>2023–24</c:v>
                </c:pt>
                <c:pt idx="9">
                  <c:v>2024–25</c:v>
                </c:pt>
                <c:pt idx="10">
                  <c:v>2025–26</c:v>
                </c:pt>
              </c:strCache>
            </c:strRef>
          </c:cat>
          <c:val>
            <c:numRef>
              <c:f>Historical_Data!$B$2:$B$12</c:f>
              <c:numCache>
                <c:formatCode>#,##0</c:formatCode>
                <c:ptCount val="11"/>
                <c:pt idx="0">
                  <c:v>33891</c:v>
                </c:pt>
                <c:pt idx="1">
                  <c:v>35061</c:v>
                </c:pt>
                <c:pt idx="2">
                  <c:v>35571</c:v>
                </c:pt>
                <c:pt idx="3">
                  <c:v>38684</c:v>
                </c:pt>
                <c:pt idx="4">
                  <c:v>39238</c:v>
                </c:pt>
                <c:pt idx="5">
                  <c:v>46321</c:v>
                </c:pt>
                <c:pt idx="6">
                  <c:v>51548</c:v>
                </c:pt>
                <c:pt idx="7">
                  <c:v>59549</c:v>
                </c:pt>
                <c:pt idx="8">
                  <c:v>60966</c:v>
                </c:pt>
                <c:pt idx="9">
                  <c:v>60573</c:v>
                </c:pt>
                <c:pt idx="10">
                  <c:v>63763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F0-445F-B560-EACDC34F1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583920"/>
        <c:axId val="1483585360"/>
      </c:lineChart>
      <c:catAx>
        <c:axId val="1483583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Financial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585360"/>
        <c:crosses val="autoZero"/>
        <c:auto val="1"/>
        <c:lblAlgn val="ctr"/>
        <c:lblOffset val="100"/>
        <c:noMultiLvlLbl val="0"/>
      </c:catAx>
      <c:valAx>
        <c:axId val="148358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Turnover (₹ crore)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58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HUL EBITDA vs PAT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Historical_Data!$C$1</c:f>
              <c:strCache>
                <c:ptCount val="1"/>
                <c:pt idx="0">
                  <c:v>EBITDA (₹ crore)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Historical_Data!$A$1:$A$12</c15:sqref>
                  </c15:fullRef>
                </c:ext>
              </c:extLst>
              <c:f>Historical_Data!$A$2:$A$12</c:f>
              <c:strCache>
                <c:ptCount val="11"/>
                <c:pt idx="0">
                  <c:v>2015–16</c:v>
                </c:pt>
                <c:pt idx="1">
                  <c:v>2016–17</c:v>
                </c:pt>
                <c:pt idx="2">
                  <c:v>2017–18</c:v>
                </c:pt>
                <c:pt idx="3">
                  <c:v>2018–19</c:v>
                </c:pt>
                <c:pt idx="4">
                  <c:v>2019–20</c:v>
                </c:pt>
                <c:pt idx="5">
                  <c:v>2020–21</c:v>
                </c:pt>
                <c:pt idx="6">
                  <c:v>2021–22</c:v>
                </c:pt>
                <c:pt idx="7">
                  <c:v>2022–23</c:v>
                </c:pt>
                <c:pt idx="8">
                  <c:v>2023–24</c:v>
                </c:pt>
                <c:pt idx="9">
                  <c:v>2024–25</c:v>
                </c:pt>
                <c:pt idx="10">
                  <c:v>2025–26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Historical_Data!$C$2:$C$12</c15:sqref>
                  </c15:fullRef>
                </c:ext>
              </c:extLst>
              <c:f>Historical_Data!$C$3:$C$12</c:f>
              <c:numCache>
                <c:formatCode>_ * #,##0_ ;_ * \-#,##0_ ;_ * "-"??_ ;_ @_ </c:formatCode>
                <c:ptCount val="10"/>
                <c:pt idx="0">
                  <c:v>6328</c:v>
                </c:pt>
                <c:pt idx="1">
                  <c:v>7501</c:v>
                </c:pt>
                <c:pt idx="2">
                  <c:v>8880</c:v>
                </c:pt>
                <c:pt idx="3">
                  <c:v>9853</c:v>
                </c:pt>
                <c:pt idx="4">
                  <c:v>11625</c:v>
                </c:pt>
                <c:pt idx="5">
                  <c:v>12862</c:v>
                </c:pt>
                <c:pt idx="6">
                  <c:v>14148</c:v>
                </c:pt>
                <c:pt idx="7">
                  <c:v>14663</c:v>
                </c:pt>
                <c:pt idx="8">
                  <c:v>14706</c:v>
                </c:pt>
                <c:pt idx="9">
                  <c:v>15054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A-4568-BE99-FF653D5F4365}"/>
            </c:ext>
          </c:extLst>
        </c:ser>
        <c:ser>
          <c:idx val="1"/>
          <c:order val="1"/>
          <c:tx>
            <c:strRef>
              <c:f>Historical_Data!$D$1</c:f>
              <c:strCache>
                <c:ptCount val="1"/>
                <c:pt idx="0">
                  <c:v>PAT (₹ crore)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Historical_Data!$A$1:$A$12</c15:sqref>
                  </c15:fullRef>
                </c:ext>
              </c:extLst>
              <c:f>Historical_Data!$A$2:$A$12</c:f>
              <c:strCache>
                <c:ptCount val="11"/>
                <c:pt idx="0">
                  <c:v>2015–16</c:v>
                </c:pt>
                <c:pt idx="1">
                  <c:v>2016–17</c:v>
                </c:pt>
                <c:pt idx="2">
                  <c:v>2017–18</c:v>
                </c:pt>
                <c:pt idx="3">
                  <c:v>2018–19</c:v>
                </c:pt>
                <c:pt idx="4">
                  <c:v>2019–20</c:v>
                </c:pt>
                <c:pt idx="5">
                  <c:v>2020–21</c:v>
                </c:pt>
                <c:pt idx="6">
                  <c:v>2021–22</c:v>
                </c:pt>
                <c:pt idx="7">
                  <c:v>2022–23</c:v>
                </c:pt>
                <c:pt idx="8">
                  <c:v>2023–24</c:v>
                </c:pt>
                <c:pt idx="9">
                  <c:v>2024–25</c:v>
                </c:pt>
                <c:pt idx="10">
                  <c:v>2025–26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Historical_Data!$D$2:$D$12</c15:sqref>
                  </c15:fullRef>
                </c:ext>
              </c:extLst>
              <c:f>Historical_Data!$D$3:$D$12</c:f>
              <c:numCache>
                <c:formatCode>_ * #,##0_ ;_ * \-#,##0_ ;_ * "-"??_ ;_ @_ </c:formatCode>
                <c:ptCount val="10"/>
                <c:pt idx="0">
                  <c:v>4502</c:v>
                </c:pt>
                <c:pt idx="1">
                  <c:v>5225</c:v>
                </c:pt>
                <c:pt idx="2">
                  <c:v>6060</c:v>
                </c:pt>
                <c:pt idx="3">
                  <c:v>6764</c:v>
                </c:pt>
                <c:pt idx="4">
                  <c:v>8000</c:v>
                </c:pt>
                <c:pt idx="5">
                  <c:v>8887</c:v>
                </c:pt>
                <c:pt idx="6">
                  <c:v>10144</c:v>
                </c:pt>
                <c:pt idx="7">
                  <c:v>10282</c:v>
                </c:pt>
                <c:pt idx="8">
                  <c:v>10680</c:v>
                </c:pt>
                <c:pt idx="9">
                  <c:v>10652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A-4568-BE99-FF653D5F4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4141216"/>
        <c:axId val="1484141696"/>
      </c:barChart>
      <c:catAx>
        <c:axId val="1484141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layout>
            <c:manualLayout>
              <c:xMode val="edge"/>
              <c:yMode val="edge"/>
              <c:x val="0.51769336682851597"/>
              <c:y val="0.840296548752301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141696"/>
        <c:crosses val="autoZero"/>
        <c:auto val="1"/>
        <c:lblAlgn val="ctr"/>
        <c:lblOffset val="100"/>
        <c:noMultiLvlLbl val="0"/>
      </c:catAx>
      <c:valAx>
        <c:axId val="148414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₹ crore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14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HUL Profitability Margins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Financial_Analysis!$H$1</c:f>
              <c:strCache>
                <c:ptCount val="1"/>
                <c:pt idx="0">
                  <c:v>EBITDA Margin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Financial_Analysis!$A$2:$A$12</c:f>
              <c:strCache>
                <c:ptCount val="11"/>
                <c:pt idx="0">
                  <c:v>2015–16</c:v>
                </c:pt>
                <c:pt idx="1">
                  <c:v>2016–17</c:v>
                </c:pt>
                <c:pt idx="2">
                  <c:v>2017–18</c:v>
                </c:pt>
                <c:pt idx="3">
                  <c:v>2018–19</c:v>
                </c:pt>
                <c:pt idx="4">
                  <c:v>2019–20</c:v>
                </c:pt>
                <c:pt idx="5">
                  <c:v>2020–21</c:v>
                </c:pt>
                <c:pt idx="6">
                  <c:v>2021–22</c:v>
                </c:pt>
                <c:pt idx="7">
                  <c:v>2022–23</c:v>
                </c:pt>
                <c:pt idx="8">
                  <c:v>2023–24</c:v>
                </c:pt>
                <c:pt idx="9">
                  <c:v>2024–25</c:v>
                </c:pt>
                <c:pt idx="10">
                  <c:v>2025–26</c:v>
                </c:pt>
              </c:strCache>
            </c:strRef>
          </c:cat>
          <c:val>
            <c:numRef>
              <c:f>Financial_Analysis!$H$2:$H$12</c:f>
              <c:numCache>
                <c:formatCode>0.00%</c:formatCode>
                <c:ptCount val="11"/>
                <c:pt idx="0">
                  <c:v>0.17742173438375969</c:v>
                </c:pt>
                <c:pt idx="1">
                  <c:v>0.18048543966230285</c:v>
                </c:pt>
                <c:pt idx="2">
                  <c:v>0.21087402659469792</c:v>
                </c:pt>
                <c:pt idx="3">
                  <c:v>0.2295522696722159</c:v>
                </c:pt>
                <c:pt idx="4">
                  <c:v>0.25110861919567767</c:v>
                </c:pt>
                <c:pt idx="5">
                  <c:v>0.25096608449731223</c:v>
                </c:pt>
                <c:pt idx="6">
                  <c:v>0.24951501513152791</c:v>
                </c:pt>
                <c:pt idx="7">
                  <c:v>0.23758585366672824</c:v>
                </c:pt>
                <c:pt idx="8">
                  <c:v>0.2405111045500771</c:v>
                </c:pt>
                <c:pt idx="9">
                  <c:v>0.24278143727403298</c:v>
                </c:pt>
                <c:pt idx="10">
                  <c:v>0.2360930320091589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A2-4620-9506-85405A8E2FE3}"/>
            </c:ext>
          </c:extLst>
        </c:ser>
        <c:ser>
          <c:idx val="1"/>
          <c:order val="1"/>
          <c:tx>
            <c:strRef>
              <c:f>Financial_Analysis!$I$1</c:f>
              <c:strCache>
                <c:ptCount val="1"/>
                <c:pt idx="0">
                  <c:v>PAT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Financial_Analysis!$A$2:$A$12</c:f>
              <c:strCache>
                <c:ptCount val="11"/>
                <c:pt idx="0">
                  <c:v>2015–16</c:v>
                </c:pt>
                <c:pt idx="1">
                  <c:v>2016–17</c:v>
                </c:pt>
                <c:pt idx="2">
                  <c:v>2017–18</c:v>
                </c:pt>
                <c:pt idx="3">
                  <c:v>2018–19</c:v>
                </c:pt>
                <c:pt idx="4">
                  <c:v>2019–20</c:v>
                </c:pt>
                <c:pt idx="5">
                  <c:v>2020–21</c:v>
                </c:pt>
                <c:pt idx="6">
                  <c:v>2021–22</c:v>
                </c:pt>
                <c:pt idx="7">
                  <c:v>2022–23</c:v>
                </c:pt>
                <c:pt idx="8">
                  <c:v>2023–24</c:v>
                </c:pt>
                <c:pt idx="9">
                  <c:v>2024–25</c:v>
                </c:pt>
                <c:pt idx="10">
                  <c:v>2025–26</c:v>
                </c:pt>
              </c:strCache>
            </c:strRef>
          </c:cat>
          <c:val>
            <c:numRef>
              <c:f>Financial_Analysis!$I$2:$I$12</c:f>
              <c:numCache>
                <c:formatCode>0.00%</c:formatCode>
                <c:ptCount val="11"/>
                <c:pt idx="0">
                  <c:v>0.12268743914313535</c:v>
                </c:pt>
                <c:pt idx="1">
                  <c:v>0.12840478024015287</c:v>
                </c:pt>
                <c:pt idx="2">
                  <c:v>0.146889319951646</c:v>
                </c:pt>
                <c:pt idx="3">
                  <c:v>0.156653913762796</c:v>
                </c:pt>
                <c:pt idx="4">
                  <c:v>0.17238391355318824</c:v>
                </c:pt>
                <c:pt idx="5">
                  <c:v>0.17270784309492454</c:v>
                </c:pt>
                <c:pt idx="6">
                  <c:v>0.17240242104446341</c:v>
                </c:pt>
                <c:pt idx="7">
                  <c:v>0.17034710910342743</c:v>
                </c:pt>
                <c:pt idx="8">
                  <c:v>0.16865137945740249</c:v>
                </c:pt>
                <c:pt idx="9">
                  <c:v>0.1763161804764499</c:v>
                </c:pt>
                <c:pt idx="10">
                  <c:v>0.16705612973040793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A2-4620-9506-85405A8E2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581584"/>
        <c:axId val="1394582064"/>
      </c:lineChart>
      <c:catAx>
        <c:axId val="139458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82064"/>
        <c:crosses val="autoZero"/>
        <c:auto val="1"/>
        <c:lblAlgn val="ctr"/>
        <c:lblOffset val="100"/>
        <c:noMultiLvlLbl val="0"/>
      </c:catAx>
      <c:valAx>
        <c:axId val="139458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8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Actual Turnover vs Forecast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Financial_Analysis!$B$1</c:f>
              <c:strCache>
                <c:ptCount val="1"/>
                <c:pt idx="0">
                  <c:v>Turnover (₹ crore)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Financial_Analysis!$A$2:$A$13</c:f>
              <c:strCache>
                <c:ptCount val="12"/>
                <c:pt idx="0">
                  <c:v>2015–16</c:v>
                </c:pt>
                <c:pt idx="1">
                  <c:v>2016–17</c:v>
                </c:pt>
                <c:pt idx="2">
                  <c:v>2017–18</c:v>
                </c:pt>
                <c:pt idx="3">
                  <c:v>2018–19</c:v>
                </c:pt>
                <c:pt idx="4">
                  <c:v>2019–20</c:v>
                </c:pt>
                <c:pt idx="5">
                  <c:v>2020–21</c:v>
                </c:pt>
                <c:pt idx="6">
                  <c:v>2021–22</c:v>
                </c:pt>
                <c:pt idx="7">
                  <c:v>2022–23</c:v>
                </c:pt>
                <c:pt idx="8">
                  <c:v>2023–24</c:v>
                </c:pt>
                <c:pt idx="9">
                  <c:v>2024–25</c:v>
                </c:pt>
                <c:pt idx="10">
                  <c:v>2025–26</c:v>
                </c:pt>
                <c:pt idx="11">
                  <c:v>FY2026-27 (Forecast)</c:v>
                </c:pt>
              </c:strCache>
            </c:strRef>
          </c:cat>
          <c:val>
            <c:numRef>
              <c:f>Financial_Analysis!$B$2:$B$13</c:f>
              <c:numCache>
                <c:formatCode>#,##0</c:formatCode>
                <c:ptCount val="12"/>
                <c:pt idx="0">
                  <c:v>33891</c:v>
                </c:pt>
                <c:pt idx="1">
                  <c:v>35061</c:v>
                </c:pt>
                <c:pt idx="2">
                  <c:v>35571</c:v>
                </c:pt>
                <c:pt idx="3">
                  <c:v>38684</c:v>
                </c:pt>
                <c:pt idx="4">
                  <c:v>39238</c:v>
                </c:pt>
                <c:pt idx="5">
                  <c:v>46321</c:v>
                </c:pt>
                <c:pt idx="6">
                  <c:v>51548</c:v>
                </c:pt>
                <c:pt idx="7">
                  <c:v>59549</c:v>
                </c:pt>
                <c:pt idx="8">
                  <c:v>60966</c:v>
                </c:pt>
                <c:pt idx="9">
                  <c:v>60573</c:v>
                </c:pt>
                <c:pt idx="10">
                  <c:v>63763</c:v>
                </c:pt>
                <c:pt idx="11" formatCode="_ * #,##0_ ;_ * \-#,##0_ ;_ * &quot;-&quot;??_ ;_ @_ ">
                  <c:v>65251.080529624858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D9-4963-90D8-ACC11A070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614208"/>
        <c:axId val="1397616608"/>
      </c:lineChart>
      <c:catAx>
        <c:axId val="139761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616608"/>
        <c:crosses val="autoZero"/>
        <c:auto val="1"/>
        <c:lblAlgn val="ctr"/>
        <c:lblOffset val="100"/>
        <c:noMultiLvlLbl val="0"/>
      </c:catAx>
      <c:valAx>
        <c:axId val="139761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61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2781300</xdr:colOff>
      <xdr:row>0</xdr:row>
      <xdr:rowOff>0</xdr:rowOff>
    </xdr:from>
    <xdr:to>
      <xdr:col>1</xdr:col>
      <xdr:colOff>5737860</xdr:colOff>
      <xdr:row>7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42BF52-A2AC-44AB-9582-F373813C48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1" t="20461" r="-491"/>
        <a:stretch>
          <a:fillRect/>
        </a:stretch>
      </xdr:blipFill>
      <xdr:spPr>
        <a:xfrm>
          <a:off x="5661660" y="0"/>
          <a:ext cx="2956560" cy="1333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335280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9905C9-C3BB-43D5-9499-92E93ACAF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510540</xdr:colOff>
      <xdr:row>0</xdr:row>
      <xdr:rowOff>0</xdr:rowOff>
    </xdr:from>
    <xdr:to>
      <xdr:col>17</xdr:col>
      <xdr:colOff>396240</xdr:colOff>
      <xdr:row>16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38A5F1-C43F-45E2-B62A-E8E56316F1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76200</xdr:rowOff>
    </xdr:from>
    <xdr:to>
      <xdr:col>7</xdr:col>
      <xdr:colOff>373380</xdr:colOff>
      <xdr:row>35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F7682D-61FD-470A-9DF0-DC10DF775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510540</xdr:colOff>
      <xdr:row>17</xdr:row>
      <xdr:rowOff>68580</xdr:rowOff>
    </xdr:from>
    <xdr:to>
      <xdr:col>17</xdr:col>
      <xdr:colOff>236220</xdr:colOff>
      <xdr:row>35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53E830-9540-4530-9143-365224797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121920</xdr:rowOff>
    </xdr:to>
    <xdr:sp macro="" textlink="">
      <xdr:nvSpPr>
        <xdr:cNvPr id="6145" name="AutoShape 1" descr="Hindustan Uniliver Limited Logo PNG Vector (EPS) Free Download">
          <a:extLst>
            <a:ext uri="{FF2B5EF4-FFF2-40B4-BE49-F238E27FC236}">
              <a16:creationId xmlns:a16="http://schemas.microsoft.com/office/drawing/2014/main" id="{D2C55CE1-7B3D-B0D9-F23E-8E925525E691}"/>
            </a:ext>
          </a:extLst>
        </xdr:cNvPr>
        <xdr:cNvSpPr>
          <a:spLocks noChangeAspect="1" noChangeArrowheads="1"/>
        </xdr:cNvSpPr>
      </xdr:nvSpPr>
      <xdr:spPr bwMode="auto">
        <a:xfrm>
          <a:off x="1188720" y="36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E8352-64AA-420D-A9AF-FCAB68E6F57C}">
  <dimension ref="A1:B10"/>
  <sheetViews>
    <sheetView workbookViewId="0">
      <selection activeCell="C11" sqref="C11"/>
    </sheetView>
  </sheetViews>
  <sheetFormatPr defaultRowHeight="13.8" x14ac:dyDescent="0.25"/>
  <cols>
    <col min="1" max="1" width="42" style="2" bestFit="1" customWidth="1"/>
    <col min="2" max="2" width="86.5546875" style="2" bestFit="1" customWidth="1"/>
    <col min="3" max="16384" width="8.88671875" style="2"/>
  </cols>
  <sheetData>
    <row r="1" spans="1:2" ht="15.6" x14ac:dyDescent="0.3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2" t="s">
        <v>5</v>
      </c>
      <c r="B5" s="2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10</v>
      </c>
    </row>
    <row r="9" spans="1:2" x14ac:dyDescent="0.25">
      <c r="A9" s="2" t="s">
        <v>11</v>
      </c>
      <c r="B9" s="2" t="s">
        <v>12</v>
      </c>
    </row>
    <row r="10" spans="1:2" x14ac:dyDescent="0.25">
      <c r="A10" s="2" t="s">
        <v>13</v>
      </c>
      <c r="B10" s="2" t="s">
        <v>14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D890-EA13-4B85-A4CE-76C6095AC54B}">
  <dimension ref="A1:E12"/>
  <sheetViews>
    <sheetView workbookViewId="0">
      <selection activeCell="F3" sqref="F3"/>
    </sheetView>
  </sheetViews>
  <sheetFormatPr defaultRowHeight="13.8" x14ac:dyDescent="0.25"/>
  <cols>
    <col min="1" max="1" width="13.5546875" style="2" bestFit="1" customWidth="1"/>
    <col min="2" max="2" width="17" style="2" bestFit="1" customWidth="1"/>
    <col min="3" max="3" width="16.44140625" style="2" bestFit="1" customWidth="1"/>
    <col min="4" max="4" width="12.77734375" style="2" bestFit="1" customWidth="1"/>
    <col min="5" max="5" width="18.77734375" style="2" bestFit="1" customWidth="1"/>
    <col min="6" max="6" width="18.21875" style="2" bestFit="1" customWidth="1"/>
    <col min="7" max="7" width="14.5546875" style="2" bestFit="1" customWidth="1"/>
    <col min="8" max="8" width="18" style="2" bestFit="1" customWidth="1"/>
    <col min="9" max="9" width="14.33203125" style="2" bestFit="1" customWidth="1"/>
    <col min="10" max="16384" width="8.88671875" style="2"/>
  </cols>
  <sheetData>
    <row r="1" spans="1:5" s="3" customFormat="1" x14ac:dyDescent="0.25">
      <c r="A1" s="5" t="s">
        <v>15</v>
      </c>
      <c r="B1" s="5" t="s">
        <v>16</v>
      </c>
      <c r="C1" s="5" t="s">
        <v>17</v>
      </c>
      <c r="D1" s="5" t="s">
        <v>18</v>
      </c>
    </row>
    <row r="2" spans="1:5" x14ac:dyDescent="0.25">
      <c r="A2" s="21" t="s">
        <v>24</v>
      </c>
      <c r="B2" s="22">
        <v>33891</v>
      </c>
      <c r="C2" s="23">
        <v>6013</v>
      </c>
      <c r="D2" s="23">
        <v>4158</v>
      </c>
    </row>
    <row r="3" spans="1:5" ht="14.4" x14ac:dyDescent="0.3">
      <c r="A3" s="21" t="s">
        <v>25</v>
      </c>
      <c r="B3" s="22">
        <v>35061</v>
      </c>
      <c r="C3" s="23">
        <v>6328</v>
      </c>
      <c r="D3" s="23">
        <v>4502</v>
      </c>
      <c r="E3" s="4"/>
    </row>
    <row r="4" spans="1:5" ht="14.4" x14ac:dyDescent="0.3">
      <c r="A4" s="21" t="s">
        <v>26</v>
      </c>
      <c r="B4" s="22">
        <v>35571</v>
      </c>
      <c r="C4" s="23">
        <v>7501</v>
      </c>
      <c r="D4" s="23">
        <v>5225</v>
      </c>
      <c r="E4" s="4"/>
    </row>
    <row r="5" spans="1:5" ht="14.4" x14ac:dyDescent="0.3">
      <c r="A5" s="21" t="s">
        <v>27</v>
      </c>
      <c r="B5" s="22">
        <v>38684</v>
      </c>
      <c r="C5" s="23">
        <v>8880</v>
      </c>
      <c r="D5" s="23">
        <v>6060</v>
      </c>
      <c r="E5" s="4"/>
    </row>
    <row r="6" spans="1:5" ht="14.4" x14ac:dyDescent="0.3">
      <c r="A6" s="21" t="s">
        <v>28</v>
      </c>
      <c r="B6" s="22">
        <v>39238</v>
      </c>
      <c r="C6" s="23">
        <v>9853</v>
      </c>
      <c r="D6" s="23">
        <v>6764</v>
      </c>
      <c r="E6" s="4"/>
    </row>
    <row r="7" spans="1:5" ht="14.4" x14ac:dyDescent="0.3">
      <c r="A7" s="21" t="s">
        <v>29</v>
      </c>
      <c r="B7" s="22">
        <v>46321</v>
      </c>
      <c r="C7" s="23">
        <v>11625</v>
      </c>
      <c r="D7" s="23">
        <v>8000</v>
      </c>
      <c r="E7" s="4"/>
    </row>
    <row r="8" spans="1:5" ht="14.4" x14ac:dyDescent="0.3">
      <c r="A8" s="21" t="s">
        <v>30</v>
      </c>
      <c r="B8" s="22">
        <v>51548</v>
      </c>
      <c r="C8" s="23">
        <v>12862</v>
      </c>
      <c r="D8" s="23">
        <v>8887</v>
      </c>
      <c r="E8" s="4"/>
    </row>
    <row r="9" spans="1:5" ht="14.4" x14ac:dyDescent="0.3">
      <c r="A9" s="21" t="s">
        <v>31</v>
      </c>
      <c r="B9" s="22">
        <v>59549</v>
      </c>
      <c r="C9" s="23">
        <v>14148</v>
      </c>
      <c r="D9" s="23">
        <v>10144</v>
      </c>
      <c r="E9" s="4"/>
    </row>
    <row r="10" spans="1:5" ht="14.4" x14ac:dyDescent="0.3">
      <c r="A10" s="21" t="s">
        <v>32</v>
      </c>
      <c r="B10" s="22">
        <v>60966</v>
      </c>
      <c r="C10" s="23">
        <v>14663</v>
      </c>
      <c r="D10" s="23">
        <v>10282</v>
      </c>
      <c r="E10" s="4"/>
    </row>
    <row r="11" spans="1:5" ht="14.4" x14ac:dyDescent="0.3">
      <c r="A11" s="21" t="s">
        <v>33</v>
      </c>
      <c r="B11" s="22">
        <v>60573</v>
      </c>
      <c r="C11" s="23">
        <v>14706</v>
      </c>
      <c r="D11" s="23">
        <v>10680</v>
      </c>
      <c r="E11" s="4"/>
    </row>
    <row r="12" spans="1:5" ht="14.4" x14ac:dyDescent="0.3">
      <c r="A12" s="21" t="s">
        <v>34</v>
      </c>
      <c r="B12" s="22">
        <v>63763</v>
      </c>
      <c r="C12" s="23">
        <v>15054</v>
      </c>
      <c r="D12" s="23">
        <v>10652</v>
      </c>
      <c r="E1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BD950-B85C-45E7-8D98-A12D810AADA9}">
  <dimension ref="A1:N15"/>
  <sheetViews>
    <sheetView topLeftCell="H1" zoomScale="73" workbookViewId="0">
      <selection activeCell="C13" sqref="C13"/>
    </sheetView>
  </sheetViews>
  <sheetFormatPr defaultRowHeight="13.8" x14ac:dyDescent="0.25"/>
  <cols>
    <col min="1" max="1" width="19.109375" style="2" bestFit="1" customWidth="1"/>
    <col min="2" max="2" width="17" style="2" bestFit="1" customWidth="1"/>
    <col min="3" max="3" width="16.44140625" style="2" bestFit="1" customWidth="1"/>
    <col min="4" max="4" width="12.77734375" style="2" bestFit="1" customWidth="1"/>
    <col min="5" max="5" width="18.77734375" style="2" bestFit="1" customWidth="1"/>
    <col min="6" max="6" width="18.21875" style="2" bestFit="1" customWidth="1"/>
    <col min="7" max="7" width="14.5546875" style="2" bestFit="1" customWidth="1"/>
    <col min="8" max="8" width="18" style="2" bestFit="1" customWidth="1"/>
    <col min="9" max="9" width="14.33203125" style="2" bestFit="1" customWidth="1"/>
    <col min="10" max="10" width="8.88671875" style="2"/>
    <col min="11" max="11" width="21.33203125" style="2" bestFit="1" customWidth="1"/>
    <col min="12" max="12" width="12" style="2" customWidth="1"/>
    <col min="13" max="13" width="17.6640625" style="2" bestFit="1" customWidth="1"/>
    <col min="14" max="14" width="116.109375" style="2" bestFit="1" customWidth="1"/>
    <col min="15" max="16384" width="8.88671875" style="2"/>
  </cols>
  <sheetData>
    <row r="1" spans="1:14" x14ac:dyDescent="0.25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</row>
    <row r="2" spans="1:14" x14ac:dyDescent="0.25">
      <c r="A2" s="21" t="s">
        <v>24</v>
      </c>
      <c r="B2" s="22">
        <v>33891</v>
      </c>
      <c r="C2" s="23">
        <v>6013</v>
      </c>
      <c r="D2" s="23">
        <v>4158</v>
      </c>
      <c r="E2" s="6"/>
      <c r="F2" s="6"/>
      <c r="G2" s="6"/>
      <c r="H2" s="9">
        <f>C2/B2</f>
        <v>0.17742173438375969</v>
      </c>
      <c r="I2" s="9">
        <f>D2/B2</f>
        <v>0.12268743914313535</v>
      </c>
      <c r="K2" s="5" t="s">
        <v>35</v>
      </c>
      <c r="L2" s="5" t="s">
        <v>36</v>
      </c>
      <c r="M2" s="5" t="s">
        <v>50</v>
      </c>
      <c r="N2" s="5" t="s">
        <v>51</v>
      </c>
    </row>
    <row r="3" spans="1:14" x14ac:dyDescent="0.25">
      <c r="A3" s="21" t="s">
        <v>25</v>
      </c>
      <c r="B3" s="22">
        <v>35061</v>
      </c>
      <c r="C3" s="23">
        <v>6328</v>
      </c>
      <c r="D3" s="23">
        <v>4502</v>
      </c>
      <c r="E3" s="9">
        <f>B3/B2-1</f>
        <v>3.4522439585730647E-2</v>
      </c>
      <c r="F3" s="9">
        <f>(C3/C2)-1</f>
        <v>5.2386495925494714E-2</v>
      </c>
      <c r="G3" s="9">
        <f>(D3/D2)-1</f>
        <v>8.2732082732082768E-2</v>
      </c>
      <c r="H3" s="9">
        <f t="shared" ref="H3:H12" si="0">C3/B3</f>
        <v>0.18048543966230285</v>
      </c>
      <c r="I3" s="9">
        <f>D3/B3</f>
        <v>0.12840478024015287</v>
      </c>
      <c r="K3" s="6" t="s">
        <v>37</v>
      </c>
      <c r="L3" s="7">
        <f>B12</f>
        <v>63763</v>
      </c>
      <c r="M3" s="6" t="s">
        <v>52</v>
      </c>
      <c r="N3" s="6" t="s">
        <v>53</v>
      </c>
    </row>
    <row r="4" spans="1:14" x14ac:dyDescent="0.25">
      <c r="A4" s="21" t="s">
        <v>26</v>
      </c>
      <c r="B4" s="22">
        <v>35571</v>
      </c>
      <c r="C4" s="23">
        <v>7501</v>
      </c>
      <c r="D4" s="23">
        <v>5225</v>
      </c>
      <c r="E4" s="9">
        <f t="shared" ref="E4:E11" si="1">B4/B3-1</f>
        <v>1.4546076837511857E-2</v>
      </c>
      <c r="F4" s="9">
        <f t="shared" ref="F4:F12" si="2">(C4/C3)-1</f>
        <v>0.18536662452591646</v>
      </c>
      <c r="G4" s="9">
        <f t="shared" ref="G4:G12" si="3">(D4/D3)-1</f>
        <v>0.16059529098178582</v>
      </c>
      <c r="H4" s="9">
        <f t="shared" si="0"/>
        <v>0.21087402659469792</v>
      </c>
      <c r="I4" s="9">
        <f t="shared" ref="I4:I12" si="4">D4/B4</f>
        <v>0.146889319951646</v>
      </c>
      <c r="K4" s="6" t="s">
        <v>38</v>
      </c>
      <c r="L4" s="8">
        <f>C12</f>
        <v>15054</v>
      </c>
      <c r="M4" s="6" t="s">
        <v>54</v>
      </c>
      <c r="N4" s="6" t="s">
        <v>55</v>
      </c>
    </row>
    <row r="5" spans="1:14" x14ac:dyDescent="0.25">
      <c r="A5" s="21" t="s">
        <v>27</v>
      </c>
      <c r="B5" s="22">
        <v>38684</v>
      </c>
      <c r="C5" s="23">
        <v>8880</v>
      </c>
      <c r="D5" s="23">
        <v>6060</v>
      </c>
      <c r="E5" s="9">
        <f t="shared" si="1"/>
        <v>8.7515110623822778E-2</v>
      </c>
      <c r="F5" s="9">
        <f t="shared" si="2"/>
        <v>0.18384215437941598</v>
      </c>
      <c r="G5" s="9">
        <f t="shared" si="3"/>
        <v>0.1598086124401914</v>
      </c>
      <c r="H5" s="9">
        <f t="shared" si="0"/>
        <v>0.2295522696722159</v>
      </c>
      <c r="I5" s="9">
        <f t="shared" si="4"/>
        <v>0.156653913762796</v>
      </c>
      <c r="K5" s="6" t="s">
        <v>39</v>
      </c>
      <c r="L5" s="8">
        <f>D12</f>
        <v>10652</v>
      </c>
      <c r="M5" s="6" t="s">
        <v>56</v>
      </c>
      <c r="N5" s="6" t="s">
        <v>57</v>
      </c>
    </row>
    <row r="6" spans="1:14" x14ac:dyDescent="0.25">
      <c r="A6" s="21" t="s">
        <v>28</v>
      </c>
      <c r="B6" s="22">
        <v>39238</v>
      </c>
      <c r="C6" s="23">
        <v>9853</v>
      </c>
      <c r="D6" s="23">
        <v>6764</v>
      </c>
      <c r="E6" s="9">
        <f t="shared" si="1"/>
        <v>1.4321166373694627E-2</v>
      </c>
      <c r="F6" s="9">
        <f t="shared" si="2"/>
        <v>0.10957207207207209</v>
      </c>
      <c r="G6" s="9">
        <f t="shared" si="3"/>
        <v>0.1161716171617162</v>
      </c>
      <c r="H6" s="9">
        <f t="shared" si="0"/>
        <v>0.25110861919567767</v>
      </c>
      <c r="I6" s="9">
        <f t="shared" si="4"/>
        <v>0.17238391355318824</v>
      </c>
      <c r="K6" s="6" t="s">
        <v>40</v>
      </c>
      <c r="L6" s="9">
        <f>H12</f>
        <v>0.2360930320091589</v>
      </c>
      <c r="M6" s="6" t="s">
        <v>58</v>
      </c>
      <c r="N6" s="6" t="s">
        <v>59</v>
      </c>
    </row>
    <row r="7" spans="1:14" x14ac:dyDescent="0.25">
      <c r="A7" s="21" t="s">
        <v>29</v>
      </c>
      <c r="B7" s="22">
        <v>46321</v>
      </c>
      <c r="C7" s="23">
        <v>11625</v>
      </c>
      <c r="D7" s="23">
        <v>8000</v>
      </c>
      <c r="E7" s="9">
        <f t="shared" si="1"/>
        <v>0.1805137876548244</v>
      </c>
      <c r="F7" s="9">
        <f t="shared" si="2"/>
        <v>0.17984370242565717</v>
      </c>
      <c r="G7" s="9">
        <f t="shared" si="3"/>
        <v>0.18273211117681853</v>
      </c>
      <c r="H7" s="9">
        <f t="shared" si="0"/>
        <v>0.25096608449731223</v>
      </c>
      <c r="I7" s="9">
        <f t="shared" si="4"/>
        <v>0.17270784309492454</v>
      </c>
      <c r="K7" s="6" t="s">
        <v>41</v>
      </c>
      <c r="L7" s="9">
        <f>I12</f>
        <v>0.16705612973040793</v>
      </c>
      <c r="M7" s="6" t="s">
        <v>60</v>
      </c>
      <c r="N7" s="6" t="s">
        <v>61</v>
      </c>
    </row>
    <row r="8" spans="1:14" x14ac:dyDescent="0.25">
      <c r="A8" s="21" t="s">
        <v>30</v>
      </c>
      <c r="B8" s="22">
        <v>51548</v>
      </c>
      <c r="C8" s="23">
        <v>12862</v>
      </c>
      <c r="D8" s="23">
        <v>8887</v>
      </c>
      <c r="E8" s="9">
        <f t="shared" si="1"/>
        <v>0.11284298698214634</v>
      </c>
      <c r="F8" s="9">
        <f t="shared" si="2"/>
        <v>0.10640860215053771</v>
      </c>
      <c r="G8" s="9">
        <f t="shared" si="3"/>
        <v>0.11087500000000006</v>
      </c>
      <c r="H8" s="9">
        <f t="shared" si="0"/>
        <v>0.24951501513152791</v>
      </c>
      <c r="I8" s="9">
        <f t="shared" si="4"/>
        <v>0.17240242104446341</v>
      </c>
      <c r="K8" s="6" t="s">
        <v>42</v>
      </c>
      <c r="L8" s="9">
        <f>(B12/B2)^(1/10)-1</f>
        <v>6.5242379061116074E-2</v>
      </c>
      <c r="M8" s="6" t="s">
        <v>62</v>
      </c>
      <c r="N8" s="6" t="s">
        <v>63</v>
      </c>
    </row>
    <row r="9" spans="1:14" x14ac:dyDescent="0.25">
      <c r="A9" s="21" t="s">
        <v>31</v>
      </c>
      <c r="B9" s="22">
        <v>59549</v>
      </c>
      <c r="C9" s="23">
        <v>14148</v>
      </c>
      <c r="D9" s="23">
        <v>10144</v>
      </c>
      <c r="E9" s="9">
        <f t="shared" si="1"/>
        <v>0.15521455730581213</v>
      </c>
      <c r="F9" s="9">
        <f t="shared" si="2"/>
        <v>9.998445031876857E-2</v>
      </c>
      <c r="G9" s="9">
        <f t="shared" si="3"/>
        <v>0.14144255654326554</v>
      </c>
      <c r="H9" s="9">
        <f t="shared" si="0"/>
        <v>0.23758585366672824</v>
      </c>
      <c r="I9" s="9">
        <f t="shared" si="4"/>
        <v>0.17034710910342743</v>
      </c>
      <c r="K9" s="6" t="s">
        <v>43</v>
      </c>
      <c r="L9" s="9">
        <f>(C12/C2)^(1/10)-1</f>
        <v>9.6114873318512428E-2</v>
      </c>
      <c r="M9" s="6" t="s">
        <v>64</v>
      </c>
      <c r="N9" s="6" t="s">
        <v>65</v>
      </c>
    </row>
    <row r="10" spans="1:14" x14ac:dyDescent="0.25">
      <c r="A10" s="21" t="s">
        <v>32</v>
      </c>
      <c r="B10" s="22">
        <v>60966</v>
      </c>
      <c r="C10" s="23">
        <v>14663</v>
      </c>
      <c r="D10" s="23">
        <v>10282</v>
      </c>
      <c r="E10" s="9">
        <f t="shared" si="1"/>
        <v>2.3795529731817533E-2</v>
      </c>
      <c r="F10" s="9">
        <f t="shared" si="2"/>
        <v>3.640090472151547E-2</v>
      </c>
      <c r="G10" s="9">
        <f t="shared" si="3"/>
        <v>1.3604100946372322E-2</v>
      </c>
      <c r="H10" s="9">
        <f t="shared" si="0"/>
        <v>0.2405111045500771</v>
      </c>
      <c r="I10" s="9">
        <f t="shared" si="4"/>
        <v>0.16865137945740249</v>
      </c>
      <c r="K10" s="6" t="s">
        <v>44</v>
      </c>
      <c r="L10" s="9">
        <f>(D12/D2)^(1/10)-1</f>
        <v>9.8638128591068686E-2</v>
      </c>
    </row>
    <row r="11" spans="1:14" x14ac:dyDescent="0.25">
      <c r="A11" s="21" t="s">
        <v>33</v>
      </c>
      <c r="B11" s="22">
        <v>60573</v>
      </c>
      <c r="C11" s="23">
        <v>14706</v>
      </c>
      <c r="D11" s="23">
        <v>10680</v>
      </c>
      <c r="E11" s="9">
        <f t="shared" si="1"/>
        <v>-6.4462159236295946E-3</v>
      </c>
      <c r="F11" s="9">
        <f t="shared" si="2"/>
        <v>2.9325513196480912E-3</v>
      </c>
      <c r="G11" s="9">
        <f t="shared" si="3"/>
        <v>3.8708422485897787E-2</v>
      </c>
      <c r="H11" s="9">
        <f t="shared" si="0"/>
        <v>0.24278143727403298</v>
      </c>
      <c r="I11" s="9">
        <f t="shared" si="4"/>
        <v>0.1763161804764499</v>
      </c>
      <c r="K11" s="6" t="s">
        <v>45</v>
      </c>
      <c r="L11" s="9">
        <f>MAX(E3:E12)</f>
        <v>0.1805137876548244</v>
      </c>
    </row>
    <row r="12" spans="1:14" x14ac:dyDescent="0.25">
      <c r="A12" s="21" t="s">
        <v>34</v>
      </c>
      <c r="B12" s="22">
        <v>63763</v>
      </c>
      <c r="C12" s="23">
        <v>15054</v>
      </c>
      <c r="D12" s="23">
        <v>10652</v>
      </c>
      <c r="E12" s="9">
        <f>B12/B11-1</f>
        <v>5.2663728063658821E-2</v>
      </c>
      <c r="F12" s="9">
        <f t="shared" si="2"/>
        <v>2.3663810689514397E-2</v>
      </c>
      <c r="G12" s="9">
        <f t="shared" si="3"/>
        <v>-2.6217228464419096E-3</v>
      </c>
      <c r="H12" s="9">
        <f t="shared" si="0"/>
        <v>0.2360930320091589</v>
      </c>
      <c r="I12" s="9">
        <f t="shared" si="4"/>
        <v>0.16705612973040793</v>
      </c>
      <c r="K12" s="6" t="s">
        <v>46</v>
      </c>
      <c r="L12" s="9">
        <f>MIN(E3:E12)</f>
        <v>-6.4462159236295946E-3</v>
      </c>
    </row>
    <row r="13" spans="1:14" x14ac:dyDescent="0.25">
      <c r="A13" s="6" t="s">
        <v>91</v>
      </c>
      <c r="B13" s="23">
        <f>Forecast!B12</f>
        <v>65251.080529624858</v>
      </c>
      <c r="K13" s="6" t="s">
        <v>47</v>
      </c>
      <c r="L13" s="9">
        <f>AVERAGE(E3:E12)</f>
        <v>6.6948916723538948E-2</v>
      </c>
    </row>
    <row r="14" spans="1:14" x14ac:dyDescent="0.25">
      <c r="K14" s="6" t="s">
        <v>48</v>
      </c>
      <c r="L14" s="9">
        <f>AVERAGE(H2:H12)</f>
        <v>0.2278995106034083</v>
      </c>
    </row>
    <row r="15" spans="1:14" x14ac:dyDescent="0.25">
      <c r="K15" s="6" t="s">
        <v>49</v>
      </c>
      <c r="L15" s="9">
        <f>AVERAGE(I2:I12)</f>
        <v>0.15950003905072674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A8A44-8A7A-47B5-BE7A-08537C2DC503}">
  <dimension ref="A1:M26"/>
  <sheetViews>
    <sheetView zoomScale="110" workbookViewId="0">
      <selection activeCell="C12" sqref="C12"/>
    </sheetView>
  </sheetViews>
  <sheetFormatPr defaultRowHeight="13.8" x14ac:dyDescent="0.25"/>
  <cols>
    <col min="1" max="1" width="27.44140625" style="2" bestFit="1" customWidth="1"/>
    <col min="2" max="2" width="35.21875" style="2" customWidth="1"/>
    <col min="3" max="16384" width="8.88671875" style="2"/>
  </cols>
  <sheetData>
    <row r="1" spans="1:2" x14ac:dyDescent="0.25">
      <c r="A1" s="3" t="s">
        <v>66</v>
      </c>
    </row>
    <row r="2" spans="1:2" x14ac:dyDescent="0.25">
      <c r="A2" s="6" t="s">
        <v>67</v>
      </c>
      <c r="B2" s="6" t="s">
        <v>68</v>
      </c>
    </row>
    <row r="3" spans="1:2" x14ac:dyDescent="0.25">
      <c r="A3" s="6" t="s">
        <v>69</v>
      </c>
      <c r="B3" s="6" t="s">
        <v>70</v>
      </c>
    </row>
    <row r="5" spans="1:2" x14ac:dyDescent="0.25">
      <c r="A5" s="3" t="s">
        <v>71</v>
      </c>
    </row>
    <row r="6" spans="1:2" x14ac:dyDescent="0.25">
      <c r="A6" s="6" t="s">
        <v>47</v>
      </c>
      <c r="B6" s="9">
        <f>AVERAGE(Financial_Analysis!E10:E12)</f>
        <v>2.333768062394892E-2</v>
      </c>
    </row>
    <row r="7" spans="1:2" x14ac:dyDescent="0.25">
      <c r="A7" s="6" t="s">
        <v>48</v>
      </c>
      <c r="B7" s="9">
        <f>AVERAGE(Financial_Analysis!H10:H12)</f>
        <v>0.23979519127775631</v>
      </c>
    </row>
    <row r="8" spans="1:2" x14ac:dyDescent="0.25">
      <c r="A8" s="6" t="s">
        <v>49</v>
      </c>
      <c r="B8" s="9">
        <f>AVERAGE(Financial_Analysis!I10:I12)</f>
        <v>0.17067456322142013</v>
      </c>
    </row>
    <row r="10" spans="1:2" x14ac:dyDescent="0.25">
      <c r="A10" s="3" t="s">
        <v>72</v>
      </c>
    </row>
    <row r="11" spans="1:2" x14ac:dyDescent="0.25">
      <c r="A11" s="6" t="s">
        <v>73</v>
      </c>
      <c r="B11" s="10">
        <f>Historical_Data!B12</f>
        <v>63763</v>
      </c>
    </row>
    <row r="12" spans="1:2" x14ac:dyDescent="0.25">
      <c r="A12" s="6" t="s">
        <v>74</v>
      </c>
      <c r="B12" s="11">
        <f>B11*(1+B6)</f>
        <v>65251.080529624858</v>
      </c>
    </row>
    <row r="13" spans="1:2" x14ac:dyDescent="0.25">
      <c r="A13" s="6" t="s">
        <v>75</v>
      </c>
      <c r="B13" s="12">
        <f>Historical_Data!C12</f>
        <v>15054</v>
      </c>
    </row>
    <row r="14" spans="1:2" x14ac:dyDescent="0.25">
      <c r="A14" s="6" t="s">
        <v>76</v>
      </c>
      <c r="B14" s="12">
        <f>B12*B7</f>
        <v>15646.895336681673</v>
      </c>
    </row>
    <row r="15" spans="1:2" x14ac:dyDescent="0.25">
      <c r="A15" s="6" t="s">
        <v>77</v>
      </c>
      <c r="B15" s="12">
        <f>Historical_Data!D12</f>
        <v>10652</v>
      </c>
    </row>
    <row r="16" spans="1:2" x14ac:dyDescent="0.25">
      <c r="A16" s="6" t="s">
        <v>78</v>
      </c>
      <c r="B16" s="12">
        <f>B12*B8</f>
        <v>11136.699669119434</v>
      </c>
    </row>
    <row r="17" spans="1:13" x14ac:dyDescent="0.25">
      <c r="A17" s="6" t="s">
        <v>79</v>
      </c>
      <c r="B17" s="9">
        <f>B14/B12</f>
        <v>0.23979519127775631</v>
      </c>
    </row>
    <row r="18" spans="1:13" x14ac:dyDescent="0.25">
      <c r="A18" s="6" t="s">
        <v>80</v>
      </c>
      <c r="B18" s="9">
        <f>B16/B12</f>
        <v>0.17067456322142013</v>
      </c>
    </row>
    <row r="19" spans="1:13" x14ac:dyDescent="0.25">
      <c r="A19" s="6" t="s">
        <v>81</v>
      </c>
      <c r="B19" s="9">
        <f>B12/B11-1</f>
        <v>2.333768062394892E-2</v>
      </c>
    </row>
    <row r="22" spans="1:13" x14ac:dyDescent="0.25">
      <c r="A22" s="5" t="s">
        <v>82</v>
      </c>
      <c r="B22" s="20" t="s">
        <v>83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spans="1:13" x14ac:dyDescent="0.25">
      <c r="A23" s="6" t="s">
        <v>84</v>
      </c>
      <c r="B23" s="14" t="s">
        <v>85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6"/>
    </row>
    <row r="24" spans="1:13" x14ac:dyDescent="0.25">
      <c r="A24" s="6" t="s">
        <v>86</v>
      </c>
      <c r="B24" s="14" t="s">
        <v>87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6"/>
    </row>
    <row r="25" spans="1:13" x14ac:dyDescent="0.25">
      <c r="A25" s="6" t="s">
        <v>88</v>
      </c>
      <c r="B25" s="17" t="s">
        <v>89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9"/>
    </row>
    <row r="26" spans="1:13" x14ac:dyDescent="0.25">
      <c r="A26" s="6" t="s">
        <v>64</v>
      </c>
      <c r="B26" s="13" t="s">
        <v>90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</sheetData>
  <mergeCells count="5">
    <mergeCell ref="B22:M22"/>
    <mergeCell ref="B26:M26"/>
    <mergeCell ref="B24:M24"/>
    <mergeCell ref="B23:M23"/>
    <mergeCell ref="B25:M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70669-76B4-4164-8058-7CC4D683EC26}">
  <dimension ref="A37:B40"/>
  <sheetViews>
    <sheetView zoomScale="79" zoomScaleNormal="100" workbookViewId="0">
      <selection activeCell="H10" sqref="H10"/>
    </sheetView>
  </sheetViews>
  <sheetFormatPr defaultRowHeight="14.4" x14ac:dyDescent="0.3"/>
  <cols>
    <col min="1" max="1" width="14.6640625" bestFit="1" customWidth="1"/>
  </cols>
  <sheetData>
    <row r="37" spans="1:2" x14ac:dyDescent="0.3">
      <c r="A37" s="3" t="s">
        <v>92</v>
      </c>
      <c r="B37" s="2" t="s">
        <v>93</v>
      </c>
    </row>
    <row r="38" spans="1:2" x14ac:dyDescent="0.3">
      <c r="A38" s="3" t="s">
        <v>94</v>
      </c>
      <c r="B38" s="2" t="s">
        <v>95</v>
      </c>
    </row>
    <row r="39" spans="1:2" x14ac:dyDescent="0.3">
      <c r="A39" s="3" t="s">
        <v>96</v>
      </c>
      <c r="B39" s="2" t="s">
        <v>97</v>
      </c>
    </row>
    <row r="40" spans="1:2" x14ac:dyDescent="0.3">
      <c r="A40" s="3" t="s">
        <v>98</v>
      </c>
      <c r="B40" s="2" t="s">
        <v>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7AD8-9410-42CC-A336-55A02E3EC286}">
  <dimension ref="A1:D22"/>
  <sheetViews>
    <sheetView tabSelected="1" workbookViewId="0">
      <selection activeCell="C14" sqref="C14"/>
    </sheetView>
  </sheetViews>
  <sheetFormatPr defaultRowHeight="13.8" x14ac:dyDescent="0.25"/>
  <cols>
    <col min="1" max="1" width="17.33203125" style="2" bestFit="1" customWidth="1"/>
    <col min="2" max="2" width="108.33203125" style="2" customWidth="1"/>
    <col min="3" max="3" width="60" style="2" bestFit="1" customWidth="1"/>
    <col min="4" max="4" width="91.88671875" style="2" bestFit="1" customWidth="1"/>
    <col min="5" max="16384" width="8.88671875" style="2"/>
  </cols>
  <sheetData>
    <row r="1" spans="1:4" s="3" customFormat="1" x14ac:dyDescent="0.25">
      <c r="A1" s="5" t="s">
        <v>100</v>
      </c>
      <c r="B1" s="5" t="s">
        <v>101</v>
      </c>
      <c r="C1" s="5" t="s">
        <v>102</v>
      </c>
      <c r="D1" s="5" t="s">
        <v>103</v>
      </c>
    </row>
    <row r="2" spans="1:4" x14ac:dyDescent="0.25">
      <c r="A2" s="6" t="s">
        <v>104</v>
      </c>
      <c r="B2" s="6" t="s">
        <v>105</v>
      </c>
      <c r="C2" s="6" t="s">
        <v>106</v>
      </c>
      <c r="D2" s="6" t="s">
        <v>107</v>
      </c>
    </row>
    <row r="3" spans="1:4" x14ac:dyDescent="0.25">
      <c r="A3" s="6" t="s">
        <v>108</v>
      </c>
      <c r="B3" s="6" t="s">
        <v>109</v>
      </c>
      <c r="C3" s="6" t="s">
        <v>110</v>
      </c>
      <c r="D3" s="6" t="s">
        <v>111</v>
      </c>
    </row>
    <row r="4" spans="1:4" x14ac:dyDescent="0.25">
      <c r="A4" s="6" t="s">
        <v>112</v>
      </c>
      <c r="B4" s="6" t="s">
        <v>113</v>
      </c>
      <c r="C4" s="6" t="s">
        <v>114</v>
      </c>
      <c r="D4" s="6" t="s">
        <v>115</v>
      </c>
    </row>
    <row r="5" spans="1:4" x14ac:dyDescent="0.25">
      <c r="A5" s="6" t="s">
        <v>116</v>
      </c>
      <c r="B5" s="6" t="s">
        <v>117</v>
      </c>
      <c r="C5" s="6" t="s">
        <v>118</v>
      </c>
      <c r="D5" s="6" t="s">
        <v>119</v>
      </c>
    </row>
    <row r="6" spans="1:4" x14ac:dyDescent="0.25">
      <c r="A6" s="6" t="s">
        <v>120</v>
      </c>
      <c r="B6" s="6" t="s">
        <v>121</v>
      </c>
      <c r="C6" s="6" t="s">
        <v>122</v>
      </c>
      <c r="D6" s="6" t="s">
        <v>123</v>
      </c>
    </row>
    <row r="9" spans="1:4" x14ac:dyDescent="0.25">
      <c r="A9" s="5" t="s">
        <v>124</v>
      </c>
      <c r="B9" s="5" t="s">
        <v>125</v>
      </c>
    </row>
    <row r="10" spans="1:4" x14ac:dyDescent="0.25">
      <c r="A10" s="6" t="s">
        <v>126</v>
      </c>
      <c r="B10" s="6" t="s">
        <v>127</v>
      </c>
    </row>
    <row r="11" spans="1:4" x14ac:dyDescent="0.25">
      <c r="A11" s="6" t="s">
        <v>128</v>
      </c>
      <c r="B11" s="6" t="s">
        <v>129</v>
      </c>
    </row>
    <row r="12" spans="1:4" x14ac:dyDescent="0.25">
      <c r="A12" s="6" t="s">
        <v>130</v>
      </c>
      <c r="B12" s="6" t="s">
        <v>131</v>
      </c>
    </row>
    <row r="13" spans="1:4" x14ac:dyDescent="0.25">
      <c r="A13" s="6" t="s">
        <v>132</v>
      </c>
      <c r="B13" s="6" t="s">
        <v>133</v>
      </c>
    </row>
    <row r="14" spans="1:4" x14ac:dyDescent="0.25">
      <c r="A14" s="6" t="s">
        <v>134</v>
      </c>
      <c r="B14" s="6" t="s">
        <v>135</v>
      </c>
    </row>
    <row r="15" spans="1:4" x14ac:dyDescent="0.25">
      <c r="A15" s="6" t="s">
        <v>136</v>
      </c>
      <c r="B15" s="6" t="s">
        <v>137</v>
      </c>
    </row>
    <row r="16" spans="1:4" x14ac:dyDescent="0.25">
      <c r="A16" s="6" t="s">
        <v>138</v>
      </c>
      <c r="B16" s="6" t="s">
        <v>139</v>
      </c>
    </row>
    <row r="17" spans="1:2" x14ac:dyDescent="0.25">
      <c r="A17" s="6" t="s">
        <v>140</v>
      </c>
      <c r="B17" s="6" t="s">
        <v>141</v>
      </c>
    </row>
    <row r="18" spans="1:2" x14ac:dyDescent="0.25">
      <c r="A18" s="6" t="s">
        <v>69</v>
      </c>
      <c r="B18" s="6" t="s">
        <v>142</v>
      </c>
    </row>
    <row r="19" spans="1:2" x14ac:dyDescent="0.25">
      <c r="A19" s="6" t="s">
        <v>143</v>
      </c>
      <c r="B19" s="6" t="s">
        <v>144</v>
      </c>
    </row>
    <row r="22" spans="1:2" ht="14.4" x14ac:dyDescent="0.3">
      <c r="B2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Historical_Data</vt:lpstr>
      <vt:lpstr>Financial_Analysis</vt:lpstr>
      <vt:lpstr>Forecast</vt:lpstr>
      <vt:lpstr>Dashboard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Peyam Lokesh</dc:creator>
  <cp:lastModifiedBy>Peyam Lokesh</cp:lastModifiedBy>
  <dcterms:created xsi:type="dcterms:W3CDTF">2026-10-19T06:35:41Z</dcterms:created>
  <dcterms:modified xsi:type="dcterms:W3CDTF">2026-10-19T08:36:07Z</dcterms:modified>
</cp:coreProperties>
</file>